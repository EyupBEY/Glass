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amid\Desktop\Glass\G0 - Eagle\"/>
    </mc:Choice>
  </mc:AlternateContent>
  <xr:revisionPtr revIDLastSave="0" documentId="13_ncr:1_{7B113B4B-7437-478F-8A34-287C17B7428B}" xr6:coauthVersionLast="47" xr6:coauthVersionMax="47" xr10:uidLastSave="{00000000-0000-0000-0000-000000000000}"/>
  <bookViews>
    <workbookView xWindow="10110" yWindow="0" windowWidth="15180" windowHeight="16170" xr2:uid="{00000000-000D-0000-FFFF-FFFF00000000}"/>
  </bookViews>
  <sheets>
    <sheet name="23.05.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0" i="1"/>
  <c r="A9" i="1"/>
  <c r="A12" i="1"/>
  <c r="A11" i="1"/>
  <c r="A7" i="1"/>
  <c r="G1" i="1" l="1" a="1"/>
  <c r="G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<sst xmlns="http://schemas.openxmlformats.org/spreadsheetml/2006/main" count="120" uniqueCount="119">
  <si>
    <t>Name</t>
  </si>
  <si>
    <t>Link</t>
  </si>
  <si>
    <t>J1</t>
  </si>
  <si>
    <t>J2</t>
  </si>
  <si>
    <t>Amount</t>
  </si>
  <si>
    <t>Price(TL)</t>
  </si>
  <si>
    <t>https://www.e-komponent.com/2-position-wire-to-board-terminal-block-horizontal-with-board-22350</t>
  </si>
  <si>
    <t>TB002-500-02BE</t>
  </si>
  <si>
    <t>https://www.e-komponent.com/fpc-connector</t>
  </si>
  <si>
    <t>ANT1</t>
  </si>
  <si>
    <t>SR4W035</t>
  </si>
  <si>
    <t>https://www.e-komponent.com/24-ghz-wi-fi-bluetooth-anten-serica-smd</t>
  </si>
  <si>
    <t>U1</t>
  </si>
  <si>
    <t>U6</t>
  </si>
  <si>
    <t>U7</t>
  </si>
  <si>
    <t>USBLC6-2SC6</t>
  </si>
  <si>
    <t>https://www.e-komponent.com/linear-voltage-regulator-ic-33v-1-output-12a-sot-223</t>
  </si>
  <si>
    <t>LDL1117S33R</t>
  </si>
  <si>
    <t>ESP32-S3R8</t>
  </si>
  <si>
    <t>TP4056 Module</t>
  </si>
  <si>
    <t>W25Q128JVSIQ</t>
  </si>
  <si>
    <t>U9</t>
  </si>
  <si>
    <t>U8</t>
  </si>
  <si>
    <t>RT9193-28GB</t>
  </si>
  <si>
    <t>https://www.e-komponent.com/tactile-switch-434121043816</t>
  </si>
  <si>
    <t>434121043816</t>
  </si>
  <si>
    <t>1825232-1</t>
  </si>
  <si>
    <t>https://www.e-komponent.com/slide-switch-spdt-through-hole-right-angle-19828</t>
  </si>
  <si>
    <t>https://www.e-komponent.com/micro-sdsocket-push-push-type</t>
  </si>
  <si>
    <t>112J-TDAR-R01</t>
  </si>
  <si>
    <t>K1 (MicroSD Card Holder)</t>
  </si>
  <si>
    <t>Q1</t>
  </si>
  <si>
    <t>https://www.e-komponent.com/p-channel-30v-3a-ta-14w-ta-surface-mount-sot-23-3</t>
  </si>
  <si>
    <t>AO3421E</t>
  </si>
  <si>
    <t>PMEG6030EVPX</t>
  </si>
  <si>
    <t>Y1</t>
  </si>
  <si>
    <t>Y2</t>
  </si>
  <si>
    <t>ECS-400-10-37B2-CKM-TR</t>
  </si>
  <si>
    <t>https://www.e-komponent.com/40-mhz-10ppm-crystal</t>
  </si>
  <si>
    <t>https://www.e-komponent.com/crystal-6pf-24024</t>
  </si>
  <si>
    <t>ECS-.327-6-34QCS-TR</t>
  </si>
  <si>
    <t>LQW18AN24NG00D</t>
  </si>
  <si>
    <t>LQG15HN2N0C02D</t>
  </si>
  <si>
    <t>https://www.e-komponent.com/2-nh-unshielded-multilayer-inductor</t>
  </si>
  <si>
    <t>https://www.e-komponent.com/24-nh-unshielded-wirewound-inductor-23755</t>
  </si>
  <si>
    <t>L2</t>
  </si>
  <si>
    <t>Value</t>
  </si>
  <si>
    <t>R3</t>
  </si>
  <si>
    <t>https://www.e-komponent.com/j-lead-surface-mount-trimmer-potentiometer-cermet</t>
  </si>
  <si>
    <t>TC33X-2-103E</t>
  </si>
  <si>
    <t>R5</t>
  </si>
  <si>
    <t>R6</t>
  </si>
  <si>
    <t>R8</t>
  </si>
  <si>
    <t>https://www.e-komponent.com/chip-resistor-thick-film-17297</t>
  </si>
  <si>
    <t>https://www.e-komponent.com/chip-resistor-moisture-resistant-thick-film-12583</t>
  </si>
  <si>
    <t>https://www.e-komponent.com/chip-resistor-moisture-resistant-thick-film-14334</t>
  </si>
  <si>
    <t>https://www.e-komponent.com/chip-resistor-thick-film-14993</t>
  </si>
  <si>
    <t>https://www.e-komponent.com/chip-resistor-pulse-withstanding-thick-film-14642</t>
  </si>
  <si>
    <t>https://www.e-komponent.com/chip-resistor-moisture-resistant-thick-film-17993</t>
  </si>
  <si>
    <t>10μF (Electrolytic)</t>
  </si>
  <si>
    <t>10μF</t>
  </si>
  <si>
    <t>https://www.e-komponent.com/aluminum-electrolytic-capacitors-24491</t>
  </si>
  <si>
    <t>https://www.e-komponent.com/ceramic-capacitors-14163</t>
  </si>
  <si>
    <t>1μF</t>
  </si>
  <si>
    <t>https://www.e-komponent.com/1-uf-ceramic-capacitor-cl21b105kafnnng</t>
  </si>
  <si>
    <t>0.1μF</t>
  </si>
  <si>
    <t>https://www.e-komponent.com/ceramic-capacitors-15476</t>
  </si>
  <si>
    <t>22nF</t>
  </si>
  <si>
    <t>https://www.e-komponent.com/ceramic-capacitors-21433</t>
  </si>
  <si>
    <t>0.01μF --&gt; 0.012μF</t>
  </si>
  <si>
    <t>16pF</t>
  </si>
  <si>
    <t>1.5pF</t>
  </si>
  <si>
    <t>https://www.e-komponent.com/15-pf-ceramic-capacitor-gjm1555c1h1r5cb01d</t>
  </si>
  <si>
    <t>https://www.e-komponent.com/ceramic-capacitor-31485</t>
  </si>
  <si>
    <t>C4</t>
  </si>
  <si>
    <t>C18</t>
  </si>
  <si>
    <t>Subtotal:</t>
  </si>
  <si>
    <t>https://www.e-komponent.com/usb-type-c-2-0-receptacle-connector-gsb1c41110sshr</t>
  </si>
  <si>
    <t>GSB1C41110SSHR</t>
  </si>
  <si>
    <t>https://tr.aliexpress.com/item/1005003691510275.html</t>
  </si>
  <si>
    <t>https://tr.aliexpress.com/item/1005006177716976.html</t>
  </si>
  <si>
    <t>https://www.e-komponent.com/chip-resistor-moisture-resistant-thick-film-17999</t>
  </si>
  <si>
    <t>U4</t>
  </si>
  <si>
    <t>RT9193-12GB</t>
  </si>
  <si>
    <t>5.1K(0603)</t>
  </si>
  <si>
    <t>10K(0603)</t>
  </si>
  <si>
    <t>100K(0603)</t>
  </si>
  <si>
    <t>1K(0603)</t>
  </si>
  <si>
    <t>100(0603)</t>
  </si>
  <si>
    <t>0(0603)</t>
  </si>
  <si>
    <t>499(0603)</t>
  </si>
  <si>
    <t>J5</t>
  </si>
  <si>
    <t>J3, J4, J6, J7, J8</t>
  </si>
  <si>
    <t>L1, L3</t>
  </si>
  <si>
    <t>U2 + U3 + Q2</t>
  </si>
  <si>
    <t>https://robolinkmarket.com/tp4056-type-c-korumali-sarj-modulu</t>
  </si>
  <si>
    <t>USBLC6-2SC6 UMW - TVS Diyotlar - e-komponent</t>
  </si>
  <si>
    <t>U5</t>
  </si>
  <si>
    <t>LY68L6400</t>
  </si>
  <si>
    <t>https://tr.aliexpress.com/item/1005005997333641.html?gatewayAdapt=glo2tur</t>
  </si>
  <si>
    <t>SW1</t>
  </si>
  <si>
    <t>D1, D2</t>
  </si>
  <si>
    <t>https://tr.aliexpress.com/i/1005003978604678.html</t>
  </si>
  <si>
    <t>RESET, PROGRAM</t>
  </si>
  <si>
    <t>R1, R2, R18, R19</t>
  </si>
  <si>
    <t>R4, R15, R16</t>
  </si>
  <si>
    <t>R14, R20, R21, R22, R23, R25, R26, R29, R27, R28</t>
  </si>
  <si>
    <t>R7, R9, R10, R11, R12, R13, R17, R24</t>
  </si>
  <si>
    <t>Standard Connectors</t>
  </si>
  <si>
    <t>C11</t>
  </si>
  <si>
    <t>İsimlendirme sıralamasını şöyle yap: R11 ile R23 arası 10uF dir diye.</t>
  </si>
  <si>
    <t>Bazı parçaları fazlaca yazdım ki yedek de olsun, bazıları tam gereken kadar onları arttır.</t>
  </si>
  <si>
    <t>C14, C15, C16, C17</t>
  </si>
  <si>
    <t>C20, C23</t>
  </si>
  <si>
    <t>C3, C31</t>
  </si>
  <si>
    <t>C1, C2, C6, C8, C9, C12, C13, C26, C27, C30, C32</t>
  </si>
  <si>
    <t>C5, C7, C10, C19, C21, C22, C24, C25</t>
  </si>
  <si>
    <t>https://www.e-komponent.com/ceramic-capacitors-16412</t>
  </si>
  <si>
    <t>https://tr.aliexpress.com/item/1005004051915626.html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</si>
</sst>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3" xfId="0" applyFont="1" applyFill="1" applyBorder="1"/>
    <xf numFmtId="0" fontId="1" fillId="3" borderId="2" xfId="0" applyFont="1" applyFill="1" applyBorder="1"/>
    <xf numFmtId="49" fontId="1" fillId="3" borderId="2" xfId="0" applyNumberFormat="1" applyFont="1" applyFill="1" applyBorder="1"/>
    <xf numFmtId="0" fontId="0" fillId="3" borderId="2" xfId="0" applyFill="1" applyBorder="1"/>
    <xf numFmtId="49" fontId="0" fillId="3" borderId="2" xfId="0" applyNumberFormat="1" applyFill="1" applyBorder="1"/>
    <xf numFmtId="0" fontId="2" fillId="3" borderId="2" xfId="1" applyFill="1" applyBorder="1"/>
    <xf numFmtId="0" fontId="3" fillId="3" borderId="2" xfId="0" applyFont="1" applyFill="1" applyBorder="1"/>
    <xf numFmtId="0" fontId="4" fillId="3" borderId="2" xfId="0" applyFont="1" applyFill="1" applyBorder="1"/>
    <xf numFmtId="0" fontId="0" fillId="0" borderId="0" xfId="0" applyBorder="1"/>
    <xf numFmtId="0" fontId="0" fillId="0" borderId="0" xfId="0" applyFill="1" applyBorder="1"/>
    <xf numFmtId="49" fontId="0" fillId="0" borderId="0" xfId="0" applyNumberFormat="1" applyBorder="1"/>
    <xf numFmtId="0" fontId="0" fillId="3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-komponent.com/2-nh-unshielded-multilayer-inductor" TargetMode="External"/><Relationship Id="rId18" Type="http://schemas.openxmlformats.org/officeDocument/2006/relationships/hyperlink" Target="https://www.e-komponent.com/chip-resistor-thick-film-14993" TargetMode="External"/><Relationship Id="rId26" Type="http://schemas.openxmlformats.org/officeDocument/2006/relationships/hyperlink" Target="https://www.e-komponent.com/ceramic-capacitors-16412" TargetMode="External"/><Relationship Id="rId21" Type="http://schemas.openxmlformats.org/officeDocument/2006/relationships/hyperlink" Target="https://www.e-komponent.com/chip-resistor-moisture-resistant-thick-film-17993" TargetMode="External"/><Relationship Id="rId34" Type="http://schemas.openxmlformats.org/officeDocument/2006/relationships/hyperlink" Target="https://tr.aliexpress.com/item/1005006177716976.html" TargetMode="External"/><Relationship Id="rId7" Type="http://schemas.openxmlformats.org/officeDocument/2006/relationships/hyperlink" Target="https://www.e-komponent.com/slide-switch-spdt-through-hole-right-angle-19828" TargetMode="External"/><Relationship Id="rId12" Type="http://schemas.openxmlformats.org/officeDocument/2006/relationships/hyperlink" Target="https://www.e-komponent.com/crystal-6pf-24024" TargetMode="External"/><Relationship Id="rId17" Type="http://schemas.openxmlformats.org/officeDocument/2006/relationships/hyperlink" Target="https://www.e-komponent.com/chip-resistor-moisture-resistant-thick-film-14334" TargetMode="External"/><Relationship Id="rId25" Type="http://schemas.openxmlformats.org/officeDocument/2006/relationships/hyperlink" Target="https://www.e-komponent.com/ceramic-capacitors-15476" TargetMode="External"/><Relationship Id="rId33" Type="http://schemas.openxmlformats.org/officeDocument/2006/relationships/hyperlink" Target="https://tr.aliexpress.com/item/1005006177716976.html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e-komponent.com/2-position-wire-to-board-terminal-block-horizontal-with-board-22350" TargetMode="External"/><Relationship Id="rId16" Type="http://schemas.openxmlformats.org/officeDocument/2006/relationships/hyperlink" Target="https://www.e-komponent.com/chip-resistor-moisture-resistant-thick-film-12583" TargetMode="External"/><Relationship Id="rId20" Type="http://schemas.openxmlformats.org/officeDocument/2006/relationships/hyperlink" Target="https://www.e-komponent.com/chip-resistor-thick-film-17297" TargetMode="External"/><Relationship Id="rId29" Type="http://schemas.openxmlformats.org/officeDocument/2006/relationships/hyperlink" Target="https://www.e-komponent.com/ceramic-capacitor-31485" TargetMode="External"/><Relationship Id="rId1" Type="http://schemas.openxmlformats.org/officeDocument/2006/relationships/hyperlink" Target="https://www.e-komponent.com/usb-type-c-2-0-receptacle-connector-gsb1c41110sshr" TargetMode="External"/><Relationship Id="rId6" Type="http://schemas.openxmlformats.org/officeDocument/2006/relationships/hyperlink" Target="https://www.e-komponent.com/tactile-switch-434121043816" TargetMode="External"/><Relationship Id="rId11" Type="http://schemas.openxmlformats.org/officeDocument/2006/relationships/hyperlink" Target="https://www.e-komponent.com/40-mhz-10ppm-crystal" TargetMode="External"/><Relationship Id="rId24" Type="http://schemas.openxmlformats.org/officeDocument/2006/relationships/hyperlink" Target="https://www.e-komponent.com/1-uf-ceramic-capacitor-cl21b105kafnnng" TargetMode="External"/><Relationship Id="rId32" Type="http://schemas.openxmlformats.org/officeDocument/2006/relationships/hyperlink" Target="https://tr.aliexpress.com/item/1005005997333641.html?gatewayAdapt=glo2tur" TargetMode="External"/><Relationship Id="rId37" Type="http://schemas.openxmlformats.org/officeDocument/2006/relationships/hyperlink" Target="https://tr.aliexpress.com/i/1005003978604678.html" TargetMode="External"/><Relationship Id="rId5" Type="http://schemas.openxmlformats.org/officeDocument/2006/relationships/hyperlink" Target="https://www.e-komponent.com/linear-voltage-regulator-ic-33v-1-output-12a-sot-223" TargetMode="External"/><Relationship Id="rId15" Type="http://schemas.openxmlformats.org/officeDocument/2006/relationships/hyperlink" Target="https://www.e-komponent.com/j-lead-surface-mount-trimmer-potentiometer-cermet" TargetMode="External"/><Relationship Id="rId23" Type="http://schemas.openxmlformats.org/officeDocument/2006/relationships/hyperlink" Target="https://www.e-komponent.com/ceramic-capacitors-14163" TargetMode="External"/><Relationship Id="rId28" Type="http://schemas.openxmlformats.org/officeDocument/2006/relationships/hyperlink" Target="https://www.e-komponent.com/15-pf-ceramic-capacitor-gjm1555c1h1r5cb01d" TargetMode="External"/><Relationship Id="rId36" Type="http://schemas.openxmlformats.org/officeDocument/2006/relationships/hyperlink" Target="https://www.e-komponent.com/17v-clamp-5a-8-20s-ipp-tvs-diode-surface-mount-sot-23-34240" TargetMode="External"/><Relationship Id="rId10" Type="http://schemas.openxmlformats.org/officeDocument/2006/relationships/hyperlink" Target="https://tr.aliexpress.com/item/1005004051915626.html" TargetMode="External"/><Relationship Id="rId19" Type="http://schemas.openxmlformats.org/officeDocument/2006/relationships/hyperlink" Target="https://www.e-komponent.com/chip-resistor-pulse-withstanding-thick-film-14642" TargetMode="External"/><Relationship Id="rId31" Type="http://schemas.openxmlformats.org/officeDocument/2006/relationships/hyperlink" Target="https://tr.aliexpress.com/item/1005003691510275.html" TargetMode="External"/><Relationship Id="rId4" Type="http://schemas.openxmlformats.org/officeDocument/2006/relationships/hyperlink" Target="https://www.e-komponent.com/24-ghz-wi-fi-bluetooth-anten-serica-smd" TargetMode="External"/><Relationship Id="rId9" Type="http://schemas.openxmlformats.org/officeDocument/2006/relationships/hyperlink" Target="https://www.e-komponent.com/p-channel-30v-3a-ta-14w-ta-surface-mount-sot-23-3" TargetMode="External"/><Relationship Id="rId14" Type="http://schemas.openxmlformats.org/officeDocument/2006/relationships/hyperlink" Target="https://www.e-komponent.com/24-nh-unshielded-wirewound-inductor-23755" TargetMode="External"/><Relationship Id="rId22" Type="http://schemas.openxmlformats.org/officeDocument/2006/relationships/hyperlink" Target="https://www.e-komponent.com/aluminum-electrolytic-capacitors-24491" TargetMode="External"/><Relationship Id="rId27" Type="http://schemas.openxmlformats.org/officeDocument/2006/relationships/hyperlink" Target="https://www.e-komponent.com/ceramic-capacitors-21433" TargetMode="External"/><Relationship Id="rId30" Type="http://schemas.openxmlformats.org/officeDocument/2006/relationships/hyperlink" Target="https://robolinkmarket.com/tp4056-type-c-korumali-sarj-modulu" TargetMode="External"/><Relationship Id="rId35" Type="http://schemas.openxmlformats.org/officeDocument/2006/relationships/hyperlink" Target="https://www.e-komponent.com/chip-resistor-moisture-resistant-thick-film-17999" TargetMode="External"/><Relationship Id="rId8" Type="http://schemas.openxmlformats.org/officeDocument/2006/relationships/hyperlink" Target="https://www.e-komponent.com/micro-sdsocket-push-push-type" TargetMode="External"/><Relationship Id="rId3" Type="http://schemas.openxmlformats.org/officeDocument/2006/relationships/hyperlink" Target="https://www.e-komponent.com/fpc-conne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6" zoomScale="111" zoomScaleNormal="70" workbookViewId="0">
      <selection activeCell="C40" sqref="C40"/>
    </sheetView>
  </sheetViews>
  <sheetFormatPr defaultRowHeight="14.5" x14ac:dyDescent="0.35"/>
  <cols>
    <col min="1" max="1" width="8" bestFit="1" customWidth="1"/>
    <col min="2" max="2" width="7.6328125" bestFit="1" customWidth="1"/>
    <col min="3" max="3" width="62.08984375" bestFit="1" customWidth="1"/>
    <col min="4" max="4" width="22.26953125" style="1" bestFit="1" customWidth="1"/>
    <col min="5" max="5" width="88" bestFit="1" customWidth="1"/>
    <col min="6" max="6" width="8.453125" bestFit="1" customWidth="1"/>
    <col min="7" max="7" width="7.81640625" bestFit="1" customWidth="1"/>
  </cols>
  <sheetData>
    <row r="1" spans="1:7" ht="15" thickBot="1" x14ac:dyDescent="0.4">
      <c r="A1" s="4" t="s">
        <v>5</v>
      </c>
      <c r="B1" s="4" t="s">
        <v>4</v>
      </c>
      <c r="C1" s="4" t="s">
        <v>0</v>
      </c>
      <c r="D1" s="5" t="s">
        <v>46</v>
      </c>
      <c r="E1" s="4" t="s">
        <v>1</v>
      </c>
      <c r="F1" s="3" t="s">
        <v>76</v>
      </c>
      <c r="G1" s="2" cm="1">
        <f t="array" ref="G1">SUM(A2:A38*B2:B38)</f>
        <v>2194.02</v>
      </c>
    </row>
    <row r="2" spans="1:7" x14ac:dyDescent="0.35">
      <c r="A2" s="10">
        <v>37.06</v>
      </c>
      <c r="B2" s="6">
        <v>1</v>
      </c>
      <c r="C2" s="9" t="s">
        <v>2</v>
      </c>
      <c r="D2" s="7" t="s">
        <v>78</v>
      </c>
      <c r="E2" s="8" t="s">
        <v>77</v>
      </c>
    </row>
    <row r="3" spans="1:7" x14ac:dyDescent="0.35">
      <c r="A3" s="10">
        <v>36.270000000000003</v>
      </c>
      <c r="B3" s="6">
        <v>1</v>
      </c>
      <c r="C3" s="9" t="s">
        <v>3</v>
      </c>
      <c r="D3" s="7" t="s">
        <v>7</v>
      </c>
      <c r="E3" s="8" t="s">
        <v>6</v>
      </c>
    </row>
    <row r="4" spans="1:7" x14ac:dyDescent="0.35">
      <c r="A4" s="10">
        <v>50.49</v>
      </c>
      <c r="B4" s="6">
        <v>1</v>
      </c>
      <c r="C4" s="9" t="s">
        <v>91</v>
      </c>
      <c r="D4" s="7">
        <v>5051102491</v>
      </c>
      <c r="E4" s="8" t="s">
        <v>8</v>
      </c>
    </row>
    <row r="5" spans="1:7" x14ac:dyDescent="0.35">
      <c r="A5" s="10">
        <v>31.83</v>
      </c>
      <c r="B5" s="6">
        <v>1</v>
      </c>
      <c r="C5" s="9" t="s">
        <v>9</v>
      </c>
      <c r="D5" s="7" t="s">
        <v>10</v>
      </c>
      <c r="E5" s="8" t="s">
        <v>11</v>
      </c>
    </row>
    <row r="6" spans="1:7" x14ac:dyDescent="0.35">
      <c r="A6" s="10">
        <v>27.45</v>
      </c>
      <c r="B6" s="6">
        <v>1</v>
      </c>
      <c r="C6" s="9" t="s">
        <v>12</v>
      </c>
      <c r="D6" s="7" t="s">
        <v>15</v>
      </c>
      <c r="E6" s="8" t="s">
        <v>96</v>
      </c>
    </row>
    <row r="7" spans="1:7" x14ac:dyDescent="0.35">
      <c r="A7" s="10">
        <f>14.5+59.9</f>
        <v>74.400000000000006</v>
      </c>
      <c r="B7" s="6">
        <v>1</v>
      </c>
      <c r="C7" s="9" t="s">
        <v>94</v>
      </c>
      <c r="D7" s="7" t="s">
        <v>19</v>
      </c>
      <c r="E7" s="8" t="s">
        <v>95</v>
      </c>
    </row>
    <row r="8" spans="1:7" x14ac:dyDescent="0.35">
      <c r="A8" s="10">
        <v>40.68</v>
      </c>
      <c r="B8" s="6">
        <v>1</v>
      </c>
      <c r="C8" s="6" t="s">
        <v>82</v>
      </c>
      <c r="D8" s="7" t="s">
        <v>17</v>
      </c>
      <c r="E8" s="8" t="s">
        <v>16</v>
      </c>
    </row>
    <row r="9" spans="1:7" x14ac:dyDescent="0.35">
      <c r="A9" s="10">
        <f>130.66+104.75</f>
        <v>235.41</v>
      </c>
      <c r="B9" s="6">
        <v>1</v>
      </c>
      <c r="C9" s="6" t="s">
        <v>97</v>
      </c>
      <c r="D9" s="7" t="s">
        <v>18</v>
      </c>
      <c r="E9" s="8" t="s">
        <v>79</v>
      </c>
    </row>
    <row r="10" spans="1:7" x14ac:dyDescent="0.35">
      <c r="A10" s="10">
        <f>91.18</f>
        <v>91.18</v>
      </c>
      <c r="B10" s="6">
        <v>1</v>
      </c>
      <c r="C10" s="6" t="s">
        <v>14</v>
      </c>
      <c r="D10" s="7" t="s">
        <v>20</v>
      </c>
      <c r="E10" s="8" t="s">
        <v>99</v>
      </c>
    </row>
    <row r="11" spans="1:7" x14ac:dyDescent="0.35">
      <c r="A11" s="10">
        <f>7.28 + 129.5</f>
        <v>136.78</v>
      </c>
      <c r="B11" s="6">
        <v>1</v>
      </c>
      <c r="C11" s="6" t="s">
        <v>22</v>
      </c>
      <c r="D11" s="7" t="s">
        <v>83</v>
      </c>
      <c r="E11" s="8" t="s">
        <v>80</v>
      </c>
    </row>
    <row r="12" spans="1:7" x14ac:dyDescent="0.35">
      <c r="A12" s="10">
        <f>7.28</f>
        <v>7.28</v>
      </c>
      <c r="B12" s="6">
        <v>1</v>
      </c>
      <c r="C12" s="6" t="s">
        <v>21</v>
      </c>
      <c r="D12" s="7" t="s">
        <v>23</v>
      </c>
      <c r="E12" s="8" t="s">
        <v>80</v>
      </c>
    </row>
    <row r="13" spans="1:7" x14ac:dyDescent="0.35">
      <c r="A13" s="10">
        <v>394.85</v>
      </c>
      <c r="B13" s="6">
        <v>1</v>
      </c>
      <c r="C13" s="6" t="s">
        <v>13</v>
      </c>
      <c r="D13" s="7" t="s">
        <v>98</v>
      </c>
      <c r="E13" s="8" t="s">
        <v>102</v>
      </c>
    </row>
    <row r="14" spans="1:7" x14ac:dyDescent="0.35">
      <c r="A14" s="10">
        <v>27.72</v>
      </c>
      <c r="B14" s="6">
        <v>2</v>
      </c>
      <c r="C14" s="6" t="s">
        <v>103</v>
      </c>
      <c r="D14" s="7" t="s">
        <v>25</v>
      </c>
      <c r="E14" s="8" t="s">
        <v>24</v>
      </c>
    </row>
    <row r="15" spans="1:7" x14ac:dyDescent="0.35">
      <c r="A15" s="10">
        <v>25.49</v>
      </c>
      <c r="B15" s="6">
        <v>1</v>
      </c>
      <c r="C15" s="6" t="s">
        <v>100</v>
      </c>
      <c r="D15" s="7" t="s">
        <v>26</v>
      </c>
      <c r="E15" s="8" t="s">
        <v>27</v>
      </c>
    </row>
    <row r="16" spans="1:7" x14ac:dyDescent="0.35">
      <c r="A16" s="10">
        <v>124.5</v>
      </c>
      <c r="B16" s="6">
        <v>1</v>
      </c>
      <c r="C16" s="6" t="s">
        <v>30</v>
      </c>
      <c r="D16" s="7" t="s">
        <v>29</v>
      </c>
      <c r="E16" s="8" t="s">
        <v>28</v>
      </c>
    </row>
    <row r="17" spans="1:5" x14ac:dyDescent="0.35">
      <c r="A17" s="10">
        <v>13.72</v>
      </c>
      <c r="B17" s="6">
        <v>1</v>
      </c>
      <c r="C17" s="6" t="s">
        <v>31</v>
      </c>
      <c r="D17" s="7" t="s">
        <v>33</v>
      </c>
      <c r="E17" s="8" t="s">
        <v>32</v>
      </c>
    </row>
    <row r="18" spans="1:5" x14ac:dyDescent="0.35">
      <c r="A18" s="10">
        <f>93.97+117.91</f>
        <v>211.88</v>
      </c>
      <c r="B18" s="6">
        <v>1</v>
      </c>
      <c r="C18" s="9" t="s">
        <v>101</v>
      </c>
      <c r="D18" s="7" t="s">
        <v>34</v>
      </c>
      <c r="E18" s="8" t="s">
        <v>118</v>
      </c>
    </row>
    <row r="19" spans="1:5" x14ac:dyDescent="0.35">
      <c r="A19" s="10">
        <v>21.08</v>
      </c>
      <c r="B19" s="6">
        <v>1</v>
      </c>
      <c r="C19" s="6" t="s">
        <v>35</v>
      </c>
      <c r="D19" s="7" t="s">
        <v>37</v>
      </c>
      <c r="E19" s="8" t="s">
        <v>38</v>
      </c>
    </row>
    <row r="20" spans="1:5" x14ac:dyDescent="0.35">
      <c r="A20" s="10">
        <v>47.44</v>
      </c>
      <c r="B20" s="6">
        <v>1</v>
      </c>
      <c r="C20" s="9" t="s">
        <v>36</v>
      </c>
      <c r="D20" s="7" t="s">
        <v>40</v>
      </c>
      <c r="E20" s="8" t="s">
        <v>39</v>
      </c>
    </row>
    <row r="21" spans="1:5" x14ac:dyDescent="0.35">
      <c r="A21" s="10">
        <v>4.9000000000000004</v>
      </c>
      <c r="B21" s="6">
        <v>3</v>
      </c>
      <c r="C21" s="9" t="s">
        <v>93</v>
      </c>
      <c r="D21" s="7" t="s">
        <v>42</v>
      </c>
      <c r="E21" s="8" t="s">
        <v>43</v>
      </c>
    </row>
    <row r="22" spans="1:5" x14ac:dyDescent="0.35">
      <c r="A22" s="10">
        <v>7.35</v>
      </c>
      <c r="B22" s="6">
        <v>2</v>
      </c>
      <c r="C22" s="9" t="s">
        <v>45</v>
      </c>
      <c r="D22" s="7" t="s">
        <v>41</v>
      </c>
      <c r="E22" s="8" t="s">
        <v>44</v>
      </c>
    </row>
    <row r="23" spans="1:5" x14ac:dyDescent="0.35">
      <c r="A23" s="10">
        <v>2.35</v>
      </c>
      <c r="B23" s="6">
        <v>10</v>
      </c>
      <c r="C23" s="9" t="s">
        <v>104</v>
      </c>
      <c r="D23" s="7" t="s">
        <v>84</v>
      </c>
      <c r="E23" s="8" t="s">
        <v>57</v>
      </c>
    </row>
    <row r="24" spans="1:5" x14ac:dyDescent="0.35">
      <c r="A24" s="10">
        <v>0.64</v>
      </c>
      <c r="B24" s="6">
        <v>50</v>
      </c>
      <c r="C24" s="9" t="s">
        <v>106</v>
      </c>
      <c r="D24" s="7" t="s">
        <v>85</v>
      </c>
      <c r="E24" s="8" t="s">
        <v>81</v>
      </c>
    </row>
    <row r="25" spans="1:5" x14ac:dyDescent="0.35">
      <c r="A25" s="10">
        <v>13.72</v>
      </c>
      <c r="B25" s="6">
        <v>2</v>
      </c>
      <c r="C25" s="9" t="s">
        <v>47</v>
      </c>
      <c r="D25" s="7" t="s">
        <v>49</v>
      </c>
      <c r="E25" s="8" t="s">
        <v>48</v>
      </c>
    </row>
    <row r="26" spans="1:5" x14ac:dyDescent="0.35">
      <c r="A26" s="10">
        <v>0.74</v>
      </c>
      <c r="B26" s="6">
        <v>10</v>
      </c>
      <c r="C26" s="6" t="s">
        <v>105</v>
      </c>
      <c r="D26" s="7" t="s">
        <v>86</v>
      </c>
      <c r="E26" s="8" t="s">
        <v>53</v>
      </c>
    </row>
    <row r="27" spans="1:5" x14ac:dyDescent="0.35">
      <c r="A27" s="10">
        <v>0.74</v>
      </c>
      <c r="B27" s="6">
        <v>10</v>
      </c>
      <c r="C27" s="6" t="s">
        <v>50</v>
      </c>
      <c r="D27" s="7" t="s">
        <v>87</v>
      </c>
      <c r="E27" s="8" t="s">
        <v>56</v>
      </c>
    </row>
    <row r="28" spans="1:5" x14ac:dyDescent="0.35">
      <c r="A28" s="10">
        <v>1.03</v>
      </c>
      <c r="B28" s="6">
        <v>10</v>
      </c>
      <c r="C28" s="6" t="s">
        <v>51</v>
      </c>
      <c r="D28" s="7" t="s">
        <v>88</v>
      </c>
      <c r="E28" s="8" t="s">
        <v>58</v>
      </c>
    </row>
    <row r="29" spans="1:5" x14ac:dyDescent="0.35">
      <c r="A29" s="10">
        <v>0.75</v>
      </c>
      <c r="B29" s="6">
        <v>25</v>
      </c>
      <c r="C29" s="6" t="s">
        <v>107</v>
      </c>
      <c r="D29" s="7" t="s">
        <v>89</v>
      </c>
      <c r="E29" s="8" t="s">
        <v>55</v>
      </c>
    </row>
    <row r="30" spans="1:5" x14ac:dyDescent="0.35">
      <c r="A30" s="10">
        <v>0.93</v>
      </c>
      <c r="B30" s="6">
        <v>10</v>
      </c>
      <c r="C30" s="6" t="s">
        <v>52</v>
      </c>
      <c r="D30" s="7" t="s">
        <v>90</v>
      </c>
      <c r="E30" s="8" t="s">
        <v>54</v>
      </c>
    </row>
    <row r="31" spans="1:5" x14ac:dyDescent="0.35">
      <c r="A31" s="10">
        <v>4.7</v>
      </c>
      <c r="B31" s="6">
        <v>5</v>
      </c>
      <c r="C31" s="6" t="s">
        <v>114</v>
      </c>
      <c r="D31" s="7" t="s">
        <v>59</v>
      </c>
      <c r="E31" s="8" t="s">
        <v>61</v>
      </c>
    </row>
    <row r="32" spans="1:5" x14ac:dyDescent="0.35">
      <c r="A32" s="10">
        <v>9.07</v>
      </c>
      <c r="B32" s="6">
        <v>10</v>
      </c>
      <c r="C32" s="6" t="s">
        <v>109</v>
      </c>
      <c r="D32" s="7" t="s">
        <v>60</v>
      </c>
      <c r="E32" s="8" t="s">
        <v>62</v>
      </c>
    </row>
    <row r="33" spans="1:5" x14ac:dyDescent="0.35">
      <c r="A33" s="10">
        <v>1.72</v>
      </c>
      <c r="B33" s="6">
        <v>50</v>
      </c>
      <c r="C33" s="14" t="s">
        <v>116</v>
      </c>
      <c r="D33" s="7" t="s">
        <v>63</v>
      </c>
      <c r="E33" s="8" t="s">
        <v>64</v>
      </c>
    </row>
    <row r="34" spans="1:5" x14ac:dyDescent="0.35">
      <c r="A34" s="10">
        <v>2.0099999999999998</v>
      </c>
      <c r="B34" s="6">
        <v>50</v>
      </c>
      <c r="C34" s="14" t="s">
        <v>115</v>
      </c>
      <c r="D34" s="7" t="s">
        <v>65</v>
      </c>
      <c r="E34" s="8" t="s">
        <v>66</v>
      </c>
    </row>
    <row r="35" spans="1:5" x14ac:dyDescent="0.35">
      <c r="A35" s="10">
        <v>1.52</v>
      </c>
      <c r="B35" s="6">
        <v>10</v>
      </c>
      <c r="C35" s="6" t="s">
        <v>113</v>
      </c>
      <c r="D35" s="7" t="s">
        <v>67</v>
      </c>
      <c r="E35" s="8" t="s">
        <v>117</v>
      </c>
    </row>
    <row r="36" spans="1:5" x14ac:dyDescent="0.35">
      <c r="A36" s="10">
        <v>4.9000000000000004</v>
      </c>
      <c r="B36" s="6">
        <v>3</v>
      </c>
      <c r="C36" s="6" t="s">
        <v>74</v>
      </c>
      <c r="D36" s="7" t="s">
        <v>69</v>
      </c>
      <c r="E36" s="8" t="s">
        <v>68</v>
      </c>
    </row>
    <row r="37" spans="1:5" x14ac:dyDescent="0.35">
      <c r="A37" s="10">
        <v>1.64</v>
      </c>
      <c r="B37" s="6">
        <v>10</v>
      </c>
      <c r="C37" s="6" t="s">
        <v>112</v>
      </c>
      <c r="D37" s="7" t="s">
        <v>70</v>
      </c>
      <c r="E37" s="8" t="s">
        <v>73</v>
      </c>
    </row>
    <row r="38" spans="1:5" x14ac:dyDescent="0.35">
      <c r="A38" s="10">
        <v>1.83</v>
      </c>
      <c r="B38" s="6">
        <v>10</v>
      </c>
      <c r="C38" s="9" t="s">
        <v>75</v>
      </c>
      <c r="D38" s="7" t="s">
        <v>71</v>
      </c>
      <c r="E38" s="8" t="s">
        <v>72</v>
      </c>
    </row>
    <row r="39" spans="1:5" x14ac:dyDescent="0.35">
      <c r="A39" s="10">
        <v>0</v>
      </c>
      <c r="B39" s="6">
        <v>1</v>
      </c>
      <c r="C39" s="6" t="s">
        <v>92</v>
      </c>
      <c r="D39" s="7" t="s">
        <v>108</v>
      </c>
      <c r="E39" s="6"/>
    </row>
    <row r="41" spans="1:5" x14ac:dyDescent="0.35">
      <c r="B41" s="11"/>
      <c r="C41" s="12"/>
      <c r="D41" s="13"/>
    </row>
    <row r="44" spans="1:5" x14ac:dyDescent="0.35">
      <c r="C44" t="s">
        <v>110</v>
      </c>
    </row>
    <row r="45" spans="1:5" x14ac:dyDescent="0.35">
      <c r="C45" t="s">
        <v>111</v>
      </c>
    </row>
  </sheetData>
  <hyperlinks>
    <hyperlink ref="E2" r:id="rId1" xr:uid="{3472BE65-9351-43F5-AA87-281D612FB568}"/>
    <hyperlink ref="E3" r:id="rId2" xr:uid="{F981F1BE-FBD2-4B30-B756-E293FEFED5B4}"/>
    <hyperlink ref="E4" r:id="rId3" xr:uid="{1E8B9F6E-057F-416A-9052-1D051E1F5F52}"/>
    <hyperlink ref="E5" r:id="rId4" xr:uid="{5038C018-5F91-4F7D-9E72-F85AF326ACCE}"/>
    <hyperlink ref="E8" r:id="rId5" xr:uid="{C739B698-0555-440D-B81A-EE1734518CC1}"/>
    <hyperlink ref="E14" r:id="rId6" xr:uid="{950BC173-7C68-4600-9E4F-1B4CF3209886}"/>
    <hyperlink ref="E15" r:id="rId7" xr:uid="{7C8DC8D5-F18D-49B5-8919-226B11771637}"/>
    <hyperlink ref="E16" r:id="rId8" xr:uid="{A24DCC0A-745F-4E0E-B9E0-5DD7F3E2B4B9}"/>
    <hyperlink ref="E17" r:id="rId9" xr:uid="{4040A172-64D3-44EF-B8C8-85DF6D54B786}"/>
    <hyperlink ref="E18" r:id="rId10" xr:uid="{A48FB617-3E8F-4DA7-9AA8-E8769BA62A3C}"/>
    <hyperlink ref="E19" r:id="rId11" xr:uid="{C15871B4-C509-4533-8953-90E56EE93B4A}"/>
    <hyperlink ref="E20" r:id="rId12" xr:uid="{110DC1CC-2DBE-4AF3-AB4B-ACAE7470BAA5}"/>
    <hyperlink ref="E21" r:id="rId13" xr:uid="{47D588C0-8E4D-447E-BE07-33ACB1BF3EC2}"/>
    <hyperlink ref="E22" r:id="rId14" xr:uid="{E18015BF-5435-455B-B159-1188E0FA5A18}"/>
    <hyperlink ref="E25" r:id="rId15" xr:uid="{B8949A0F-9D5A-4F07-B874-BD2FE50D150D}"/>
    <hyperlink ref="E30" r:id="rId16" xr:uid="{87FB5B37-E13C-45F4-9637-7737FA8802B8}"/>
    <hyperlink ref="E29" r:id="rId17" xr:uid="{7E9867F4-88B6-4190-B77E-62E9EF7892EB}"/>
    <hyperlink ref="E27" r:id="rId18" xr:uid="{7A6C4E72-4F25-42BC-BE39-3BE7B0F51206}"/>
    <hyperlink ref="E23" r:id="rId19" xr:uid="{869D73E2-0010-4FAD-8B55-6B84B048871D}"/>
    <hyperlink ref="E26" r:id="rId20" xr:uid="{C06BE498-C0F8-4239-B25F-CC26798CE9D3}"/>
    <hyperlink ref="E28" r:id="rId21" xr:uid="{0F08DDE3-8682-4E8E-946D-195AF2C84D17}"/>
    <hyperlink ref="E31" r:id="rId22" xr:uid="{097C3882-4779-48AB-BBA6-BE24768BA617}"/>
    <hyperlink ref="E32" r:id="rId23" xr:uid="{6AE465E4-A3BC-4CEE-9D58-EEEBE24E81BB}"/>
    <hyperlink ref="E33" r:id="rId24" xr:uid="{8ABF72CE-27E8-422B-991E-D682CB56CEF3}"/>
    <hyperlink ref="E34" r:id="rId25" xr:uid="{F91A7AF4-CFB6-43E1-A183-EDB5DDAD0CA7}"/>
    <hyperlink ref="E35" r:id="rId26" xr:uid="{44055EC9-521E-47B8-B739-7C6357D8AC88}"/>
    <hyperlink ref="E36" r:id="rId27" xr:uid="{576BD769-F3AC-4FDB-BE2E-79933D3E7F7B}"/>
    <hyperlink ref="E38" r:id="rId28" xr:uid="{B36AB6A9-5281-4353-99B0-8A814EB70BB2}"/>
    <hyperlink ref="E37" r:id="rId29" xr:uid="{FB242A56-099A-40F5-B0CA-D12825B8D917}"/>
    <hyperlink ref="E7" r:id="rId30" xr:uid="{89F66D2F-E5E8-4D3D-8B09-7F896A7582F4}"/>
    <hyperlink ref="E9" r:id="rId31" xr:uid="{184ECAE6-BF3A-45B9-9CD2-983254859BD0}"/>
    <hyperlink ref="E10" r:id="rId32" xr:uid="{E3A47247-EB53-4439-8648-C073954ECB73}"/>
    <hyperlink ref="E11" r:id="rId33" xr:uid="{3B104297-38E4-4DAA-AE82-704891655656}"/>
    <hyperlink ref="E12" r:id="rId34" xr:uid="{6BBD2F75-752F-44D6-810F-A2DFB0103029}"/>
    <hyperlink ref="E24" r:id="rId35" xr:uid="{1B91BF07-815C-49C3-BF92-8A8478E1F25E}"/>
    <hyperlink ref="E6" r:id="rId36" display="https://www.e-komponent.com/17v-clamp-5a-8-20s-ipp-tvs-diode-surface-mount-sot-23-34240" xr:uid="{CE1C58D3-3AE3-476C-B139-547BA079DC96}"/>
    <hyperlink ref="E13" r:id="rId37" xr:uid="{C75ADF49-909C-4469-AA39-86540A13C06B}"/>
  </hyperlinks>
  <pageMargins left="0.7" right="0.7" top="0.75" bottom="0.75" header="0.3" footer="0.3"/>
  <pageSetup paperSize="9"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23.05.2024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Emin Özkanlı</dc:creator>
  <cp:lastModifiedBy>Hamid Emin Özkanlı</cp:lastModifiedBy>
  <dcterms:created xsi:type="dcterms:W3CDTF">2015-06-05T18:17:20Z</dcterms:created>
  <dcterms:modified xsi:type="dcterms:W3CDTF">2024-09-20T15:40:28Z</dcterms:modified>
</cp:coreProperties>
</file>